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conomic Model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<sst xmlns="http://schemas.openxmlformats.org/spreadsheetml/2006/main" count="74" uniqueCount="51">
  <si>
    <t xml:space="preserve">Nébuleuse Bijoux — AI Agent Optimization Financial Model</t>
  </si>
  <si>
    <t xml:space="preserve">CURRENT STATE (Baseline)</t>
  </si>
  <si>
    <t xml:space="preserve">Metric</t>
  </si>
  <si>
    <t xml:space="preserve">Value</t>
  </si>
  <si>
    <t xml:space="preserve">Unit</t>
  </si>
  <si>
    <t xml:space="preserve">Source/Notes</t>
  </si>
  <si>
    <t xml:space="preserve">AI Tickets Resolved/Month</t>
  </si>
  <si>
    <t xml:space="preserve">tickets</t>
  </si>
  <si>
    <t xml:space="preserve">Audit baseline (60 days)</t>
  </si>
  <si>
    <t xml:space="preserve">Automation Rate</t>
  </si>
  <si>
    <t xml:space="preserve">%</t>
  </si>
  <si>
    <t xml:space="preserve">488 / 6029 total tickets</t>
  </si>
  <si>
    <t xml:space="preserve">Cost per Ticket (One Pilot)</t>
  </si>
  <si>
    <t xml:space="preserve">€/ticket</t>
  </si>
  <si>
    <t xml:space="preserve">One Pilot contract rate</t>
  </si>
  <si>
    <t xml:space="preserve">Outsourcing Savings (Current)</t>
  </si>
  <si>
    <t xml:space="preserve">€/month</t>
  </si>
  <si>
    <t xml:space="preserve">488 tickets × €2.05</t>
  </si>
  <si>
    <t xml:space="preserve">AI Agent Subscription Cost</t>
  </si>
  <si>
    <t xml:space="preserve">Current Gorgias plan</t>
  </si>
  <si>
    <t xml:space="preserve">Net Monthly Benefit (Current)</t>
  </si>
  <si>
    <t xml:space="preserve">Savings - AI cost</t>
  </si>
  <si>
    <t xml:space="preserve">Annual Benefit (Current)</t>
  </si>
  <si>
    <t xml:space="preserve">€/year</t>
  </si>
  <si>
    <t xml:space="preserve">Monthly × 12 months</t>
  </si>
  <si>
    <t xml:space="preserve">TARGET STATE (50% Automation)</t>
  </si>
  <si>
    <t xml:space="preserve">Projection at 50%</t>
  </si>
  <si>
    <t xml:space="preserve">1,414 / 6029 total tickets</t>
  </si>
  <si>
    <t xml:space="preserve">Same contract rate</t>
  </si>
  <si>
    <t xml:space="preserve">Outsourcing Savings (Target)</t>
  </si>
  <si>
    <t xml:space="preserve">1,414 tickets × €2.05</t>
  </si>
  <si>
    <t xml:space="preserve">Target Gorgias plan tier</t>
  </si>
  <si>
    <t xml:space="preserve">Net Monthly Benefit (Target)</t>
  </si>
  <si>
    <t xml:space="preserve">Annual Benefit (Target)</t>
  </si>
  <si>
    <t xml:space="preserve">FINANCIAL IMPACT SUMMARY</t>
  </si>
  <si>
    <t xml:space="preserve">Current</t>
  </si>
  <si>
    <t xml:space="preserve">Target</t>
  </si>
  <si>
    <t xml:space="preserve">Improvement</t>
  </si>
  <si>
    <t xml:space="preserve">% Change</t>
  </si>
  <si>
    <t xml:space="preserve">Monthly Outsourcing Savings</t>
  </si>
  <si>
    <t xml:space="preserve">Monthly AI Agent Cost</t>
  </si>
  <si>
    <t xml:space="preserve">Net Monthly Benefit</t>
  </si>
  <si>
    <t xml:space="preserve">Annual Benefit</t>
  </si>
  <si>
    <t xml:space="preserve">FULL OUTSOURCING CONTEXT</t>
  </si>
  <si>
    <t xml:space="preserve">Notes</t>
  </si>
  <si>
    <t xml:space="preserve">Total One Pilot Monthly Spend</t>
  </si>
  <si>
    <t xml:space="preserve">€12k baseline, €6k at 50% automation</t>
  </si>
  <si>
    <t xml:space="preserve">Total AI Agent + One Pilot</t>
  </si>
  <si>
    <t xml:space="preserve">Combined monthly support cost</t>
  </si>
  <si>
    <t xml:space="preserve">Monthly Savings vs Baseline</t>
  </si>
  <si>
    <t xml:space="preserve">Reduction in total support spend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</si>
</sst>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0.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2"/>
      <color rgb="FFFFFFFF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366092"/>
        <bgColor rgb="FF44546A"/>
      </patternFill>
    </fill>
    <fill>
      <patternFill patternType="solid">
        <fgColor rgb="FFD9E1F2"/>
        <bgColor rgb="FFE2EFDA"/>
      </patternFill>
    </fill>
    <fill>
      <patternFill patternType="solid">
        <fgColor rgb="FF70AD47"/>
        <bgColor rgb="FF339966"/>
      </patternFill>
    </fill>
    <fill>
      <patternFill patternType="solid">
        <fgColor rgb="FFE2EFDA"/>
        <bgColor rgb="FFD9E1F2"/>
      </patternFill>
    </fill>
    <fill>
      <patternFill patternType="solid">
        <fgColor rgb="FFC55A11"/>
        <bgColor rgb="FF993300"/>
      </patternFill>
    </fill>
    <fill>
      <patternFill patternType="solid">
        <fgColor rgb="FFFDD835"/>
        <bgColor rgb="FFFFCC99"/>
      </patternFill>
    </fill>
    <fill>
      <patternFill patternType="solid">
        <fgColor rgb="FF44546A"/>
        <bgColor rgb="FF366092"/>
      </patternFill>
    </fill>
    <fill>
      <patternFill patternType="solid">
        <fgColor rgb="FFBDD7EE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8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1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DD835"/>
      <rgbColor rgb="FFFF9900"/>
      <rgbColor rgb="FFC55A11"/>
      <rgbColor rgb="FF366092"/>
      <rgbColor rgb="FF70AD47"/>
      <rgbColor rgb="FF003366"/>
      <rgbColor rgb="FF339966"/>
      <rgbColor rgb="FF003300"/>
      <rgbColor rgb="FF333300"/>
      <rgbColor rgb="FF993300"/>
      <rgbColor rgb="FF993366"/>
      <rgbColor rgb="FF44546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8"/>
    <col collapsed="false" customWidth="true" hidden="false" outlineLevel="0" max="5" min="2" style="0" width="16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</row>
    <row r="3" customFormat="false" ht="15" hidden="false" customHeight="false" outlineLevel="0" collapsed="false">
      <c r="A3" s="2" t="s">
        <v>1</v>
      </c>
      <c r="B3" s="2"/>
      <c r="C3" s="2"/>
      <c r="D3" s="2"/>
      <c r="E3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5" t="n">
        <v>488</v>
      </c>
      <c r="C5" s="4" t="s">
        <v>7</v>
      </c>
      <c r="D5" s="4" t="s">
        <v>8</v>
      </c>
    </row>
    <row r="6" customFormat="false" ht="15" hidden="false" customHeight="false" outlineLevel="0" collapsed="false">
      <c r="A6" s="4" t="s">
        <v>9</v>
      </c>
      <c r="B6" s="5" t="n">
        <f aca="false">B5/6029</f>
        <v>0.0809421131199204</v>
      </c>
      <c r="C6" s="4" t="s">
        <v>10</v>
      </c>
      <c r="D6" s="4" t="s">
        <v>11</v>
      </c>
    </row>
    <row r="7" customFormat="false" ht="15" hidden="false" customHeight="false" outlineLevel="0" collapsed="false">
      <c r="A7" s="4" t="s">
        <v>12</v>
      </c>
      <c r="B7" s="5" t="n">
        <v>2.05</v>
      </c>
      <c r="C7" s="4" t="s">
        <v>13</v>
      </c>
      <c r="D7" s="4" t="s">
        <v>14</v>
      </c>
    </row>
    <row r="8" customFormat="false" ht="15" hidden="false" customHeight="false" outlineLevel="0" collapsed="false">
      <c r="A8" s="4" t="s">
        <v>15</v>
      </c>
      <c r="B8" s="5" t="n">
        <f aca="false">B5*B7</f>
        <v>1000.4</v>
      </c>
      <c r="C8" s="4" t="s">
        <v>16</v>
      </c>
      <c r="D8" s="4" t="s">
        <v>17</v>
      </c>
    </row>
    <row r="9" customFormat="false" ht="15" hidden="false" customHeight="false" outlineLevel="0" collapsed="false">
      <c r="A9" s="4" t="s">
        <v>18</v>
      </c>
      <c r="B9" s="5" t="n">
        <v>589</v>
      </c>
      <c r="C9" s="4" t="s">
        <v>16</v>
      </c>
      <c r="D9" s="4" t="s">
        <v>19</v>
      </c>
    </row>
    <row r="10" customFormat="false" ht="15" hidden="false" customHeight="false" outlineLevel="0" collapsed="false">
      <c r="A10" s="4" t="s">
        <v>20</v>
      </c>
      <c r="B10" s="5" t="n">
        <f aca="false">B8-B9</f>
        <v>411.4</v>
      </c>
      <c r="C10" s="4" t="s">
        <v>16</v>
      </c>
      <c r="D10" s="4" t="s">
        <v>21</v>
      </c>
    </row>
    <row r="11" customFormat="false" ht="15" hidden="false" customHeight="false" outlineLevel="0" collapsed="false">
      <c r="A11" s="4" t="s">
        <v>22</v>
      </c>
      <c r="B11" s="5" t="n">
        <f aca="false">B10*12</f>
        <v>4936.8</v>
      </c>
      <c r="C11" s="4" t="s">
        <v>23</v>
      </c>
      <c r="D11" s="4" t="s">
        <v>24</v>
      </c>
    </row>
    <row r="14" customFormat="false" ht="15" hidden="false" customHeight="false" outlineLevel="0" collapsed="false">
      <c r="A14" s="6" t="s">
        <v>25</v>
      </c>
      <c r="B14" s="6"/>
      <c r="C14" s="6"/>
      <c r="D14" s="6"/>
      <c r="E14" s="6"/>
    </row>
    <row r="15" customFormat="false" ht="15" hidden="false" customHeight="false" outlineLevel="0" collapsed="false">
      <c r="A15" s="7" t="s">
        <v>2</v>
      </c>
      <c r="B15" s="7" t="s">
        <v>3</v>
      </c>
      <c r="C15" s="7" t="s">
        <v>4</v>
      </c>
      <c r="D15" s="7" t="s">
        <v>5</v>
      </c>
    </row>
    <row r="16" customFormat="false" ht="15" hidden="false" customHeight="false" outlineLevel="0" collapsed="false">
      <c r="A16" s="4" t="s">
        <v>6</v>
      </c>
      <c r="B16" s="5" t="n">
        <v>1414</v>
      </c>
      <c r="C16" s="4" t="s">
        <v>7</v>
      </c>
      <c r="D16" s="4" t="s">
        <v>26</v>
      </c>
    </row>
    <row r="17" customFormat="false" ht="15" hidden="false" customHeight="false" outlineLevel="0" collapsed="false">
      <c r="A17" s="4" t="s">
        <v>9</v>
      </c>
      <c r="B17" s="5" t="n">
        <f aca="false">B16/6029</f>
        <v>0.234533090064687</v>
      </c>
      <c r="C17" s="4" t="s">
        <v>10</v>
      </c>
      <c r="D17" s="4" t="s">
        <v>27</v>
      </c>
    </row>
    <row r="18" customFormat="false" ht="15" hidden="false" customHeight="false" outlineLevel="0" collapsed="false">
      <c r="A18" s="4" t="s">
        <v>12</v>
      </c>
      <c r="B18" s="5" t="n">
        <v>2.05</v>
      </c>
      <c r="C18" s="4" t="s">
        <v>13</v>
      </c>
      <c r="D18" s="4" t="s">
        <v>28</v>
      </c>
    </row>
    <row r="19" customFormat="false" ht="15" hidden="false" customHeight="false" outlineLevel="0" collapsed="false">
      <c r="A19" s="4" t="s">
        <v>29</v>
      </c>
      <c r="B19" s="5" t="n">
        <f aca="false">B16*B18</f>
        <v>2898.7</v>
      </c>
      <c r="C19" s="4" t="s">
        <v>16</v>
      </c>
      <c r="D19" s="4" t="s">
        <v>30</v>
      </c>
    </row>
    <row r="20" customFormat="false" ht="15" hidden="false" customHeight="false" outlineLevel="0" collapsed="false">
      <c r="A20" s="4" t="s">
        <v>18</v>
      </c>
      <c r="B20" s="5" t="n">
        <v>1035</v>
      </c>
      <c r="C20" s="4" t="s">
        <v>16</v>
      </c>
      <c r="D20" s="4" t="s">
        <v>31</v>
      </c>
    </row>
    <row r="21" customFormat="false" ht="15" hidden="false" customHeight="false" outlineLevel="0" collapsed="false">
      <c r="A21" s="4" t="s">
        <v>32</v>
      </c>
      <c r="B21" s="5" t="n">
        <f aca="false">B19-B20</f>
        <v>1863.7</v>
      </c>
      <c r="C21" s="4" t="s">
        <v>16</v>
      </c>
      <c r="D21" s="4" t="s">
        <v>21</v>
      </c>
    </row>
    <row r="22" customFormat="false" ht="15" hidden="false" customHeight="false" outlineLevel="0" collapsed="false">
      <c r="A22" s="4" t="s">
        <v>33</v>
      </c>
      <c r="B22" s="5" t="n">
        <f aca="false">B21*12</f>
        <v>22364.4</v>
      </c>
      <c r="C22" s="4" t="s">
        <v>23</v>
      </c>
      <c r="D22" s="4" t="s">
        <v>24</v>
      </c>
    </row>
    <row r="25" customFormat="false" ht="15" hidden="false" customHeight="false" outlineLevel="0" collapsed="false">
      <c r="A25" s="8" t="s">
        <v>34</v>
      </c>
      <c r="B25" s="8"/>
      <c r="C25" s="8"/>
      <c r="D25" s="8"/>
      <c r="E25" s="8"/>
    </row>
    <row r="26" customFormat="false" ht="15" hidden="false" customHeight="false" outlineLevel="0" collapsed="false">
      <c r="A26" s="9" t="s">
        <v>2</v>
      </c>
      <c r="B26" s="10" t="s">
        <v>35</v>
      </c>
      <c r="C26" s="10" t="s">
        <v>36</v>
      </c>
      <c r="D26" s="10" t="s">
        <v>37</v>
      </c>
      <c r="E26" s="11" t="s">
        <v>38</v>
      </c>
    </row>
    <row r="27" customFormat="false" ht="15" hidden="false" customHeight="false" outlineLevel="0" collapsed="false">
      <c r="A27" s="4" t="s">
        <v>39</v>
      </c>
      <c r="B27" s="5" t="n">
        <f aca="false">B8</f>
        <v>1000.4</v>
      </c>
      <c r="C27" s="5" t="n">
        <f aca="false">B19</f>
        <v>2898.7</v>
      </c>
      <c r="D27" s="5" t="n">
        <f aca="false">C27-B27</f>
        <v>1898.3</v>
      </c>
      <c r="E27" s="12" t="n">
        <f aca="false">(C27-B27)/B27</f>
        <v>1.89754098360656</v>
      </c>
    </row>
    <row r="28" customFormat="false" ht="15" hidden="false" customHeight="false" outlineLevel="0" collapsed="false">
      <c r="A28" s="4" t="s">
        <v>40</v>
      </c>
      <c r="B28" s="5" t="n">
        <f aca="false">B9</f>
        <v>589</v>
      </c>
      <c r="C28" s="5" t="n">
        <f aca="false">B20</f>
        <v>1035</v>
      </c>
      <c r="D28" s="5" t="n">
        <f aca="false">C28-B28</f>
        <v>446</v>
      </c>
      <c r="E28" s="12" t="n">
        <f aca="false">(C28-B28)/B28</f>
        <v>0.757215619694397</v>
      </c>
    </row>
    <row r="29" customFormat="false" ht="15" hidden="false" customHeight="false" outlineLevel="0" collapsed="false">
      <c r="A29" s="4" t="s">
        <v>41</v>
      </c>
      <c r="B29" s="5" t="n">
        <f aca="false">B10</f>
        <v>411.4</v>
      </c>
      <c r="C29" s="5" t="n">
        <f aca="false">B21</f>
        <v>1863.7</v>
      </c>
      <c r="D29" s="5" t="n">
        <f aca="false">C29-B29</f>
        <v>1452.3</v>
      </c>
      <c r="E29" s="12" t="n">
        <f aca="false">(C29-B29)/B29</f>
        <v>3.53014098201264</v>
      </c>
    </row>
    <row r="30" customFormat="false" ht="15" hidden="false" customHeight="false" outlineLevel="0" collapsed="false">
      <c r="A30" s="4" t="s">
        <v>42</v>
      </c>
      <c r="B30" s="5" t="n">
        <f aca="false">B11</f>
        <v>4936.8</v>
      </c>
      <c r="C30" s="5" t="n">
        <f aca="false">B22</f>
        <v>22364.4</v>
      </c>
      <c r="D30" s="5" t="n">
        <f aca="false">C30-B30</f>
        <v>17427.6</v>
      </c>
      <c r="E30" s="12" t="n">
        <f aca="false">(C30-B30)/B30</f>
        <v>3.53014098201264</v>
      </c>
    </row>
    <row r="33" customFormat="false" ht="15" hidden="false" customHeight="false" outlineLevel="0" collapsed="false">
      <c r="A33" s="13" t="s">
        <v>43</v>
      </c>
      <c r="B33" s="13"/>
      <c r="C33" s="13"/>
      <c r="D33" s="13"/>
      <c r="E33" s="13"/>
    </row>
    <row r="34" customFormat="false" ht="15" hidden="false" customHeight="false" outlineLevel="0" collapsed="false">
      <c r="A34" s="14" t="s">
        <v>2</v>
      </c>
      <c r="B34" s="15" t="s">
        <v>35</v>
      </c>
      <c r="C34" s="15" t="s">
        <v>36</v>
      </c>
      <c r="D34" s="14" t="s">
        <v>44</v>
      </c>
    </row>
    <row r="35" customFormat="false" ht="15" hidden="false" customHeight="false" outlineLevel="0" collapsed="false">
      <c r="A35" s="4" t="s">
        <v>45</v>
      </c>
      <c r="B35" s="5" t="n">
        <v>12000</v>
      </c>
      <c r="C35" s="5" t="n">
        <v>6000</v>
      </c>
      <c r="D35" s="4" t="s">
        <v>46</v>
      </c>
    </row>
    <row r="36" customFormat="false" ht="15" hidden="false" customHeight="false" outlineLevel="0" collapsed="false">
      <c r="A36" s="4" t="s">
        <v>47</v>
      </c>
      <c r="B36" s="5" t="n">
        <f aca="false">B35+B9</f>
        <v>12589</v>
      </c>
      <c r="C36" s="5" t="n">
        <f aca="false">C35+B20</f>
        <v>7035</v>
      </c>
      <c r="D36" s="4" t="s">
        <v>48</v>
      </c>
    </row>
    <row r="37" customFormat="false" ht="15" hidden="false" customHeight="false" outlineLevel="0" collapsed="false">
      <c r="A37" s="4" t="s">
        <v>49</v>
      </c>
      <c r="B37" s="5" t="n">
        <f aca="false">B10</f>
        <v>411.4</v>
      </c>
      <c r="C37" s="5" t="n">
        <f aca="false">B35+B9-C35-B20</f>
        <v>5554</v>
      </c>
      <c r="D37" s="4" t="s">
        <v>50</v>
      </c>
    </row>
  </sheetData>
  <mergeCells count="5">
    <mergeCell ref="A1:E1"/>
    <mergeCell ref="A3:E3"/>
    <mergeCell ref="A14:E14"/>
    <mergeCell ref="A25:E25"/>
    <mergeCell ref="A33:E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2026-02-25T08:20:22Z</dcterms:created>
  <dc:creator>openpyxl</dc:creator>
  <dc:description/>
  <dc:language>en-US</dc:language>
  <cp:lastModifiedBy/>
  <dcterms:modified xsi:type="dcterms:W3CDTF">2026-02-25T08:20:22Z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